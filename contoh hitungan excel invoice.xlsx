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uksestamajayaabadi.com\"/>
    </mc:Choice>
  </mc:AlternateContent>
  <xr:revisionPtr revIDLastSave="0" documentId="8_{1FF4E22C-61C3-4A8E-82C5-50F16285F947}" xr6:coauthVersionLast="47" xr6:coauthVersionMax="47" xr10:uidLastSave="{00000000-0000-0000-0000-000000000000}"/>
  <bookViews>
    <workbookView xWindow="-110" yWindow="-110" windowWidth="19420" windowHeight="10300" xr2:uid="{53C362BB-4B4A-4763-811E-68866EE17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0" i="1"/>
  <c r="G7" i="1"/>
  <c r="G8" i="1"/>
  <c r="G6" i="1"/>
  <c r="H7" i="1"/>
  <c r="I7" i="1" s="1"/>
  <c r="H8" i="1"/>
  <c r="J8" i="1" s="1"/>
  <c r="H6" i="1"/>
  <c r="K6" i="1" s="1"/>
  <c r="J7" i="1" l="1"/>
  <c r="K12" i="1"/>
  <c r="I6" i="1"/>
  <c r="K11" i="1"/>
  <c r="J6" i="1"/>
  <c r="K14" i="1" s="1"/>
  <c r="K8" i="1"/>
  <c r="K7" i="1"/>
  <c r="I8" i="1"/>
  <c r="K13" i="1" l="1"/>
</calcChain>
</file>

<file path=xl/sharedStrings.xml><?xml version="1.0" encoding="utf-8"?>
<sst xmlns="http://schemas.openxmlformats.org/spreadsheetml/2006/main" count="21" uniqueCount="18">
  <si>
    <t>kita ganti sedikit susunannya ya bang</t>
  </si>
  <si>
    <t>no</t>
  </si>
  <si>
    <t>nama barang</t>
  </si>
  <si>
    <t>qty</t>
  </si>
  <si>
    <t>harga satuan</t>
  </si>
  <si>
    <t>discount</t>
  </si>
  <si>
    <t>DPP</t>
  </si>
  <si>
    <t>PPN</t>
  </si>
  <si>
    <t>Jumlah</t>
  </si>
  <si>
    <t>a</t>
  </si>
  <si>
    <t>b</t>
  </si>
  <si>
    <t>c</t>
  </si>
  <si>
    <t>total faktur</t>
  </si>
  <si>
    <r>
      <t xml:space="preserve">field bantu </t>
    </r>
    <r>
      <rPr>
        <b/>
        <sz val="11"/>
        <color theme="1"/>
        <rFont val="Calibri"/>
        <family val="2"/>
        <scheme val="minor"/>
      </rPr>
      <t>harga setelah discount</t>
    </r>
    <r>
      <rPr>
        <sz val="11"/>
        <color theme="1"/>
        <rFont val="Calibri"/>
        <family val="2"/>
        <scheme val="minor"/>
      </rPr>
      <t xml:space="preserve"> (tak perlu nanti di cetakkan)</t>
    </r>
  </si>
  <si>
    <r>
      <t xml:space="preserve">field bantu untuk 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(tak perlu di cetakkan)</t>
    </r>
  </si>
  <si>
    <t>jumlah = (harga barang - discount)*qty</t>
  </si>
  <si>
    <t>ppn = (11/111)*jumlah</t>
  </si>
  <si>
    <t>dpp = (100/111)*jumlah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</si>
</sst>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A0FA-4F2E-4574-83EF-9113EF02B8C7}">
  <dimension ref="B2:K18"/>
  <sheetViews>
    <sheetView tabSelected="1" topLeftCell="A6" workbookViewId="0">
      <selection activeCell="H20" sqref="H20"/>
    </sheetView>
  </sheetViews>
  <sheetFormatPr defaultRowHeight="14.5" x14ac:dyDescent="0.35"/>
  <cols>
    <col min="3" max="3" width="11.81640625" bestFit="1" customWidth="1"/>
    <col min="4" max="4" width="3.453125" bestFit="1" customWidth="1"/>
    <col min="5" max="5" width="11.6328125" bestFit="1" customWidth="1"/>
    <col min="6" max="6" width="7.90625" bestFit="1" customWidth="1"/>
    <col min="7" max="7" width="41.08984375" bestFit="1" customWidth="1"/>
    <col min="8" max="8" width="53.54296875" bestFit="1" customWidth="1"/>
    <col min="9" max="9" width="8.90625" bestFit="1" customWidth="1"/>
    <col min="10" max="10" width="10.08984375" bestFit="1" customWidth="1"/>
    <col min="11" max="11" width="8.90625" bestFit="1" customWidth="1"/>
  </cols>
  <sheetData>
    <row r="2" spans="2:11" x14ac:dyDescent="0.35">
      <c r="B2" t="s">
        <v>0</v>
      </c>
    </row>
    <row r="5" spans="2:11" x14ac:dyDescent="0.35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14</v>
      </c>
      <c r="H5" t="s">
        <v>13</v>
      </c>
      <c r="I5" t="s">
        <v>6</v>
      </c>
      <c r="J5" t="s">
        <v>7</v>
      </c>
      <c r="K5" t="s">
        <v>8</v>
      </c>
    </row>
    <row r="6" spans="2:11" x14ac:dyDescent="0.35">
      <c r="B6">
        <v>1</v>
      </c>
      <c r="C6" t="s">
        <v>9</v>
      </c>
      <c r="D6">
        <v>4</v>
      </c>
      <c r="E6" s="1">
        <v>525000</v>
      </c>
      <c r="F6" s="1">
        <v>236250</v>
      </c>
      <c r="G6" s="1">
        <f>D6*F6</f>
        <v>945000</v>
      </c>
      <c r="H6" s="1">
        <f>E6-F6</f>
        <v>288750</v>
      </c>
      <c r="I6" s="1">
        <f>((100/111)*H6)*D6</f>
        <v>1040540.5405405406</v>
      </c>
      <c r="J6" s="1">
        <f>((11/111)*H6)*D6</f>
        <v>114459.45945945947</v>
      </c>
      <c r="K6" s="1">
        <f>D6*H6</f>
        <v>1155000</v>
      </c>
    </row>
    <row r="7" spans="2:11" x14ac:dyDescent="0.35">
      <c r="B7">
        <v>2</v>
      </c>
      <c r="C7" t="s">
        <v>10</v>
      </c>
      <c r="D7">
        <v>2</v>
      </c>
      <c r="E7" s="1">
        <v>98000</v>
      </c>
      <c r="F7" s="1">
        <v>44100</v>
      </c>
      <c r="G7" s="1">
        <f t="shared" ref="G7:G8" si="0">D7*F7</f>
        <v>88200</v>
      </c>
      <c r="H7" s="1">
        <f t="shared" ref="H7:H8" si="1">E7-F7</f>
        <v>53900</v>
      </c>
      <c r="I7" s="1">
        <f t="shared" ref="I7:I8" si="2">((100/111)*H7)*D7</f>
        <v>97117.117117117115</v>
      </c>
      <c r="J7" s="1">
        <f t="shared" ref="J7:J8" si="3">((11/111)*H7)*D7</f>
        <v>10682.882882882883</v>
      </c>
      <c r="K7" s="1">
        <f t="shared" ref="K7:K8" si="4">D7*H7</f>
        <v>107800</v>
      </c>
    </row>
    <row r="8" spans="2:11" x14ac:dyDescent="0.35">
      <c r="B8">
        <v>3</v>
      </c>
      <c r="C8" t="s">
        <v>11</v>
      </c>
      <c r="D8">
        <v>2</v>
      </c>
      <c r="E8" s="1">
        <v>136500</v>
      </c>
      <c r="F8" s="1">
        <v>61425</v>
      </c>
      <c r="G8" s="1">
        <f t="shared" si="0"/>
        <v>122850</v>
      </c>
      <c r="H8" s="1">
        <f t="shared" si="1"/>
        <v>75075</v>
      </c>
      <c r="I8" s="1">
        <f t="shared" si="2"/>
        <v>135270.27027027027</v>
      </c>
      <c r="J8" s="1">
        <f t="shared" si="3"/>
        <v>14879.72972972973</v>
      </c>
      <c r="K8" s="1">
        <f t="shared" si="4"/>
        <v>150150</v>
      </c>
    </row>
    <row r="9" spans="2:11" x14ac:dyDescent="0.35">
      <c r="E9" s="1"/>
      <c r="F9" s="1"/>
      <c r="G9" s="1"/>
      <c r="H9" s="1"/>
      <c r="I9" s="1"/>
      <c r="J9" s="1"/>
      <c r="K9" s="1"/>
    </row>
    <row r="10" spans="2:11" x14ac:dyDescent="0.35">
      <c r="E10" s="1"/>
      <c r="F10" s="1"/>
      <c r="G10" s="1">
        <f>D6*E6</f>
        <v>2100000</v>
      </c>
      <c r="H10" s="1"/>
      <c r="I10" s="1"/>
      <c r="J10" s="2"/>
      <c r="K10" s="1"/>
    </row>
    <row r="11" spans="2:11" x14ac:dyDescent="0.35">
      <c r="E11" s="1"/>
      <c r="F11" s="1"/>
      <c r="G11" s="1">
        <f t="shared" ref="G11:G12" si="5">D7*E7</f>
        <v>196000</v>
      </c>
      <c r="H11" s="1"/>
      <c r="I11" s="1"/>
      <c r="J11" s="2" t="s">
        <v>12</v>
      </c>
      <c r="K11" s="2">
        <f>SUM(K6:K8)</f>
        <v>1412950</v>
      </c>
    </row>
    <row r="12" spans="2:11" x14ac:dyDescent="0.35">
      <c r="E12" s="1"/>
      <c r="F12" s="1"/>
      <c r="G12" s="1">
        <f t="shared" si="5"/>
        <v>273000</v>
      </c>
      <c r="H12" s="1"/>
      <c r="I12" s="1"/>
      <c r="J12" s="1" t="s">
        <v>5</v>
      </c>
      <c r="K12" s="1">
        <f>SUM(G6:G8)</f>
        <v>1156050</v>
      </c>
    </row>
    <row r="13" spans="2:11" x14ac:dyDescent="0.35">
      <c r="E13" s="1"/>
      <c r="F13" s="1"/>
      <c r="G13" s="1"/>
      <c r="H13" s="1"/>
      <c r="I13" s="1"/>
      <c r="J13" s="1" t="s">
        <v>6</v>
      </c>
      <c r="K13" s="1">
        <f>SUM(I6:I8)</f>
        <v>1272927.927927928</v>
      </c>
    </row>
    <row r="14" spans="2:11" x14ac:dyDescent="0.35">
      <c r="E14" s="1"/>
      <c r="F14" s="1"/>
      <c r="G14" s="1"/>
      <c r="H14" s="1"/>
      <c r="I14" s="1"/>
      <c r="J14" s="1" t="s">
        <v>7</v>
      </c>
      <c r="K14" s="1">
        <f>SUM(J6:J8)</f>
        <v>140022.07207207207</v>
      </c>
    </row>
    <row r="15" spans="2:11" x14ac:dyDescent="0.35">
      <c r="E15" s="1"/>
      <c r="F15" s="1"/>
      <c r="G15" s="1"/>
      <c r="H15" s="1"/>
      <c r="I15" s="1"/>
      <c r="J15" s="1"/>
      <c r="K15" s="1"/>
    </row>
    <row r="16" spans="2:11" x14ac:dyDescent="0.35">
      <c r="G16" t="s">
        <v>15</v>
      </c>
    </row>
    <row r="17" spans="7:7" x14ac:dyDescent="0.35">
      <c r="G17" t="s">
        <v>17</v>
      </c>
    </row>
    <row r="18" spans="7:7" x14ac:dyDescent="0.35">
      <c r="G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Simanjuntak</dc:creator>
  <cp:lastModifiedBy>Toni Simanjuntak</cp:lastModifiedBy>
  <dcterms:created xsi:type="dcterms:W3CDTF">2026-03-10T14:26:20Z</dcterms:created>
  <dcterms:modified xsi:type="dcterms:W3CDTF">2026-03-10T14:50:09Z</dcterms:modified>
</cp:coreProperties>
</file>